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SML_Case_Studies\01_Classification\03_Output\"/>
    </mc:Choice>
  </mc:AlternateContent>
  <xr:revisionPtr revIDLastSave="0" documentId="13_ncr:1_{6C5FFDEA-6920-42EC-AC03-E54A7339CF7A}" xr6:coauthVersionLast="47" xr6:coauthVersionMax="47" xr10:uidLastSave="{00000000-0000-0000-0000-000000000000}"/>
  <bookViews>
    <workbookView xWindow="-120" yWindow="-120" windowWidth="27870" windowHeight="16440" activeTab="4" xr2:uid="{00000000-000D-0000-FFFF-FFFF00000000}"/>
  </bookViews>
  <sheets>
    <sheet name="Info" sheetId="1" r:id="rId1"/>
    <sheet name="Stats" sheetId="2" r:id="rId2"/>
    <sheet name="VIF" sheetId="3" r:id="rId3"/>
    <sheet name="PCA_VAR" sheetId="4" r:id="rId4"/>
    <sheet name="PCA_Components" sheetId="5" r:id="rId5"/>
    <sheet name="PCA_Top_Features" sheetId="6" r:id="rId6"/>
    <sheet name="DTR-Features" sheetId="7" r:id="rId7"/>
  </sheets>
  <calcPr calcId="181029"/>
</workbook>
</file>

<file path=xl/calcChain.xml><?xml version="1.0" encoding="utf-8"?>
<calcChain xmlns="http://schemas.openxmlformats.org/spreadsheetml/2006/main">
  <c r="Z11" i="5" l="1"/>
  <c r="Y11" i="5"/>
  <c r="X11" i="5"/>
  <c r="W11" i="5"/>
  <c r="V11" i="5"/>
  <c r="U11" i="5"/>
  <c r="T11" i="5"/>
  <c r="S11" i="5"/>
  <c r="R11" i="5"/>
  <c r="Q11" i="5"/>
  <c r="P11" i="5"/>
  <c r="O11" i="5"/>
  <c r="Z10" i="5"/>
  <c r="Y10" i="5"/>
  <c r="X10" i="5"/>
  <c r="W10" i="5"/>
  <c r="V10" i="5"/>
  <c r="U10" i="5"/>
  <c r="T10" i="5"/>
  <c r="S10" i="5"/>
  <c r="R10" i="5"/>
  <c r="Q10" i="5"/>
  <c r="P10" i="5"/>
  <c r="O10" i="5"/>
  <c r="Z9" i="5"/>
  <c r="Y9" i="5"/>
  <c r="X9" i="5"/>
  <c r="W9" i="5"/>
  <c r="V9" i="5"/>
  <c r="U9" i="5"/>
  <c r="T9" i="5"/>
  <c r="S9" i="5"/>
  <c r="R9" i="5"/>
  <c r="Q9" i="5"/>
  <c r="P9" i="5"/>
  <c r="O9" i="5"/>
  <c r="Z8" i="5"/>
  <c r="Y8" i="5"/>
  <c r="X8" i="5"/>
  <c r="W8" i="5"/>
  <c r="V8" i="5"/>
  <c r="U8" i="5"/>
  <c r="T8" i="5"/>
  <c r="S8" i="5"/>
  <c r="R8" i="5"/>
  <c r="Q8" i="5"/>
  <c r="P8" i="5"/>
  <c r="O8" i="5"/>
  <c r="Z7" i="5"/>
  <c r="Y7" i="5"/>
  <c r="X7" i="5"/>
  <c r="W7" i="5"/>
  <c r="V7" i="5"/>
  <c r="U7" i="5"/>
  <c r="T7" i="5"/>
  <c r="S7" i="5"/>
  <c r="R7" i="5"/>
  <c r="Q7" i="5"/>
  <c r="P7" i="5"/>
  <c r="O7" i="5"/>
  <c r="Z6" i="5"/>
  <c r="Y6" i="5"/>
  <c r="X6" i="5"/>
  <c r="W6" i="5"/>
  <c r="V6" i="5"/>
  <c r="U6" i="5"/>
  <c r="T6" i="5"/>
  <c r="S6" i="5"/>
  <c r="R6" i="5"/>
  <c r="Q6" i="5"/>
  <c r="P6" i="5"/>
  <c r="O6" i="5"/>
  <c r="Z5" i="5"/>
  <c r="Y5" i="5"/>
  <c r="X5" i="5"/>
  <c r="W5" i="5"/>
  <c r="V5" i="5"/>
  <c r="U5" i="5"/>
  <c r="T5" i="5"/>
  <c r="S5" i="5"/>
  <c r="R5" i="5"/>
  <c r="Q5" i="5"/>
  <c r="P5" i="5"/>
  <c r="O5" i="5"/>
  <c r="Z4" i="5"/>
  <c r="Y4" i="5"/>
  <c r="X4" i="5"/>
  <c r="W4" i="5"/>
  <c r="V4" i="5"/>
  <c r="U4" i="5"/>
  <c r="T4" i="5"/>
  <c r="S4" i="5"/>
  <c r="R4" i="5"/>
  <c r="Q4" i="5"/>
  <c r="P4" i="5"/>
  <c r="O4" i="5"/>
  <c r="Z3" i="5"/>
  <c r="Y3" i="5"/>
  <c r="X3" i="5"/>
  <c r="W3" i="5"/>
  <c r="V3" i="5"/>
  <c r="U3" i="5"/>
  <c r="T3" i="5"/>
  <c r="S3" i="5"/>
  <c r="R3" i="5"/>
  <c r="Q3" i="5"/>
  <c r="P3" i="5"/>
  <c r="O3" i="5"/>
  <c r="Z2" i="5"/>
  <c r="Y2" i="5"/>
  <c r="X2" i="5"/>
  <c r="W2" i="5"/>
  <c r="V2" i="5"/>
  <c r="U2" i="5"/>
  <c r="T2" i="5"/>
  <c r="S2" i="5"/>
  <c r="R2" i="5"/>
  <c r="Q2" i="5"/>
  <c r="P2" i="5"/>
  <c r="O2" i="5"/>
</calcChain>
</file>

<file path=xl/sharedStrings.xml><?xml version="1.0" encoding="utf-8"?>
<sst xmlns="http://schemas.openxmlformats.org/spreadsheetml/2006/main" count="121" uniqueCount="47">
  <si>
    <t>index</t>
  </si>
  <si>
    <t>Data Type</t>
  </si>
  <si>
    <t>pelvic_incidence</t>
  </si>
  <si>
    <t>pelvic_tilt</t>
  </si>
  <si>
    <t>lumbar_lordosis_angle</t>
  </si>
  <si>
    <t>sacral_slope</t>
  </si>
  <si>
    <t>pelvic_radius</t>
  </si>
  <si>
    <t>degree_spondylolisthesis</t>
  </si>
  <si>
    <t>pelvic_slope</t>
  </si>
  <si>
    <t>Direct_tilt</t>
  </si>
  <si>
    <t>thoracic_slope</t>
  </si>
  <si>
    <t>cervical_tilt</t>
  </si>
  <si>
    <t>sacrum_angle</t>
  </si>
  <si>
    <t>scoliosis_slope</t>
  </si>
  <si>
    <t>Class_att</t>
  </si>
  <si>
    <t>float64</t>
  </si>
  <si>
    <t>object</t>
  </si>
  <si>
    <t>count</t>
  </si>
  <si>
    <t>mean</t>
  </si>
  <si>
    <t>std</t>
  </si>
  <si>
    <t>min</t>
  </si>
  <si>
    <t>25%</t>
  </si>
  <si>
    <t>50%</t>
  </si>
  <si>
    <t>75%</t>
  </si>
  <si>
    <t>max</t>
  </si>
  <si>
    <t>Feature</t>
  </si>
  <si>
    <t>VIF</t>
  </si>
  <si>
    <t>PC</t>
  </si>
  <si>
    <t>feature</t>
  </si>
  <si>
    <t>loading</t>
  </si>
  <si>
    <t>type</t>
  </si>
  <si>
    <t>PC1</t>
  </si>
  <si>
    <t>PC2</t>
  </si>
  <si>
    <t>PC3</t>
  </si>
  <si>
    <t>PC4</t>
  </si>
  <si>
    <t>PC5</t>
  </si>
  <si>
    <t>PC6</t>
  </si>
  <si>
    <t>PC7</t>
  </si>
  <si>
    <t>PC8</t>
  </si>
  <si>
    <t>PC9</t>
  </si>
  <si>
    <t>PC10</t>
  </si>
  <si>
    <t>PC11</t>
  </si>
  <si>
    <t>PC12</t>
  </si>
  <si>
    <t>best</t>
  </si>
  <si>
    <t>weak</t>
  </si>
  <si>
    <t>Features</t>
  </si>
  <si>
    <t>Coefficients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</si>
</sst>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1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workbookViewId="0"/>
  </sheetViews>
  <sheetFormatPr defaultRowHeight="15" x14ac:dyDescent="0.25"/>
  <cols>
    <col min="2" max="2" width="24.140625" bestFit="1" customWidth="1"/>
    <col min="3" max="3" width="9.7109375" bestFit="1" customWidth="1"/>
  </cols>
  <sheetData>
    <row r="1" spans="1:3" x14ac:dyDescent="0.25">
      <c r="B1" s="1" t="s">
        <v>0</v>
      </c>
      <c r="C1" s="1" t="s">
        <v>1</v>
      </c>
    </row>
    <row r="2" spans="1:3" x14ac:dyDescent="0.25">
      <c r="A2" s="1">
        <v>0</v>
      </c>
      <c r="B2" t="s">
        <v>2</v>
      </c>
      <c r="C2" t="s">
        <v>15</v>
      </c>
    </row>
    <row r="3" spans="1:3" x14ac:dyDescent="0.25">
      <c r="A3" s="1">
        <v>1</v>
      </c>
      <c r="B3" t="s">
        <v>3</v>
      </c>
      <c r="C3" t="s">
        <v>15</v>
      </c>
    </row>
    <row r="4" spans="1:3" x14ac:dyDescent="0.25">
      <c r="A4" s="1">
        <v>2</v>
      </c>
      <c r="B4" t="s">
        <v>4</v>
      </c>
      <c r="C4" t="s">
        <v>15</v>
      </c>
    </row>
    <row r="5" spans="1:3" x14ac:dyDescent="0.25">
      <c r="A5" s="1">
        <v>3</v>
      </c>
      <c r="B5" t="s">
        <v>5</v>
      </c>
      <c r="C5" t="s">
        <v>15</v>
      </c>
    </row>
    <row r="6" spans="1:3" x14ac:dyDescent="0.25">
      <c r="A6" s="1">
        <v>4</v>
      </c>
      <c r="B6" t="s">
        <v>6</v>
      </c>
      <c r="C6" t="s">
        <v>15</v>
      </c>
    </row>
    <row r="7" spans="1:3" x14ac:dyDescent="0.25">
      <c r="A7" s="1">
        <v>5</v>
      </c>
      <c r="B7" t="s">
        <v>7</v>
      </c>
      <c r="C7" t="s">
        <v>15</v>
      </c>
    </row>
    <row r="8" spans="1:3" x14ac:dyDescent="0.25">
      <c r="A8" s="1">
        <v>6</v>
      </c>
      <c r="B8" t="s">
        <v>8</v>
      </c>
      <c r="C8" t="s">
        <v>15</v>
      </c>
    </row>
    <row r="9" spans="1:3" x14ac:dyDescent="0.25">
      <c r="A9" s="1">
        <v>7</v>
      </c>
      <c r="B9" t="s">
        <v>9</v>
      </c>
      <c r="C9" t="s">
        <v>15</v>
      </c>
    </row>
    <row r="10" spans="1:3" x14ac:dyDescent="0.25">
      <c r="A10" s="1">
        <v>8</v>
      </c>
      <c r="B10" t="s">
        <v>10</v>
      </c>
      <c r="C10" t="s">
        <v>15</v>
      </c>
    </row>
    <row r="11" spans="1:3" x14ac:dyDescent="0.25">
      <c r="A11" s="1">
        <v>9</v>
      </c>
      <c r="B11" t="s">
        <v>11</v>
      </c>
      <c r="C11" t="s">
        <v>15</v>
      </c>
    </row>
    <row r="12" spans="1:3" x14ac:dyDescent="0.25">
      <c r="A12" s="1">
        <v>10</v>
      </c>
      <c r="B12" t="s">
        <v>12</v>
      </c>
      <c r="C12" t="s">
        <v>15</v>
      </c>
    </row>
    <row r="13" spans="1:3" x14ac:dyDescent="0.25">
      <c r="A13" s="1">
        <v>11</v>
      </c>
      <c r="B13" t="s">
        <v>13</v>
      </c>
      <c r="C13" t="s">
        <v>15</v>
      </c>
    </row>
    <row r="14" spans="1:3" x14ac:dyDescent="0.25">
      <c r="A14" s="1">
        <v>12</v>
      </c>
      <c r="B14" t="s">
        <v>14</v>
      </c>
      <c r="C14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selection activeCell="F12" sqref="F12"/>
    </sheetView>
  </sheetViews>
  <sheetFormatPr defaultRowHeight="15" x14ac:dyDescent="0.25"/>
  <cols>
    <col min="1" max="1" width="24.140625" bestFit="1" customWidth="1"/>
  </cols>
  <sheetData>
    <row r="1" spans="1:9" x14ac:dyDescent="0.25"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</row>
    <row r="2" spans="1:9" x14ac:dyDescent="0.25">
      <c r="A2" s="1" t="s">
        <v>2</v>
      </c>
      <c r="B2">
        <v>310</v>
      </c>
      <c r="C2">
        <v>60.497</v>
      </c>
      <c r="D2">
        <v>17.236999999999998</v>
      </c>
      <c r="E2">
        <v>26.148</v>
      </c>
      <c r="F2">
        <v>46.43</v>
      </c>
      <c r="G2">
        <v>58.691000000000003</v>
      </c>
      <c r="H2">
        <v>72.878</v>
      </c>
      <c r="I2">
        <v>129.834</v>
      </c>
    </row>
    <row r="3" spans="1:9" x14ac:dyDescent="0.25">
      <c r="A3" s="1" t="s">
        <v>3</v>
      </c>
      <c r="B3">
        <v>310</v>
      </c>
      <c r="C3">
        <v>17.542999999999999</v>
      </c>
      <c r="D3">
        <v>10.007999999999999</v>
      </c>
      <c r="E3">
        <v>-6.5549999999999997</v>
      </c>
      <c r="F3">
        <v>10.667</v>
      </c>
      <c r="G3">
        <v>16.358000000000001</v>
      </c>
      <c r="H3">
        <v>22.12</v>
      </c>
      <c r="I3">
        <v>49.432000000000002</v>
      </c>
    </row>
    <row r="4" spans="1:9" x14ac:dyDescent="0.25">
      <c r="A4" s="1" t="s">
        <v>4</v>
      </c>
      <c r="B4">
        <v>310</v>
      </c>
      <c r="C4">
        <v>51.930999999999997</v>
      </c>
      <c r="D4">
        <v>18.553999999999998</v>
      </c>
      <c r="E4">
        <v>14</v>
      </c>
      <c r="F4">
        <v>37</v>
      </c>
      <c r="G4">
        <v>49.561999999999998</v>
      </c>
      <c r="H4">
        <v>63</v>
      </c>
      <c r="I4">
        <v>125.742</v>
      </c>
    </row>
    <row r="5" spans="1:9" x14ac:dyDescent="0.25">
      <c r="A5" s="1" t="s">
        <v>5</v>
      </c>
      <c r="B5">
        <v>310</v>
      </c>
      <c r="C5">
        <v>42.954000000000001</v>
      </c>
      <c r="D5">
        <v>13.423</v>
      </c>
      <c r="E5">
        <v>13.367000000000001</v>
      </c>
      <c r="F5">
        <v>33.347000000000001</v>
      </c>
      <c r="G5">
        <v>42.405000000000001</v>
      </c>
      <c r="H5">
        <v>52.695999999999998</v>
      </c>
      <c r="I5">
        <v>121.43</v>
      </c>
    </row>
    <row r="6" spans="1:9" x14ac:dyDescent="0.25">
      <c r="A6" s="1" t="s">
        <v>6</v>
      </c>
      <c r="B6">
        <v>310</v>
      </c>
      <c r="C6">
        <v>117.92100000000001</v>
      </c>
      <c r="D6">
        <v>13.317</v>
      </c>
      <c r="E6">
        <v>70.082999999999998</v>
      </c>
      <c r="F6">
        <v>110.709</v>
      </c>
      <c r="G6">
        <v>118.268</v>
      </c>
      <c r="H6">
        <v>125.468</v>
      </c>
      <c r="I6">
        <v>163.071</v>
      </c>
    </row>
    <row r="7" spans="1:9" x14ac:dyDescent="0.25">
      <c r="A7" s="1" t="s">
        <v>7</v>
      </c>
      <c r="B7">
        <v>310</v>
      </c>
      <c r="C7">
        <v>26.297000000000001</v>
      </c>
      <c r="D7">
        <v>37.558999999999997</v>
      </c>
      <c r="E7">
        <v>-11.058</v>
      </c>
      <c r="F7">
        <v>1.6040000000000001</v>
      </c>
      <c r="G7">
        <v>11.768000000000001</v>
      </c>
      <c r="H7">
        <v>41.286999999999999</v>
      </c>
      <c r="I7">
        <v>418.54300000000001</v>
      </c>
    </row>
    <row r="8" spans="1:9" x14ac:dyDescent="0.25">
      <c r="A8" s="1" t="s">
        <v>8</v>
      </c>
      <c r="B8">
        <v>310</v>
      </c>
      <c r="C8">
        <v>0.47299999999999998</v>
      </c>
      <c r="D8">
        <v>0.28599999999999998</v>
      </c>
      <c r="E8">
        <v>3.0000000000000001E-3</v>
      </c>
      <c r="F8">
        <v>0.224</v>
      </c>
      <c r="G8">
        <v>0.47599999999999998</v>
      </c>
      <c r="H8">
        <v>0.70499999999999996</v>
      </c>
      <c r="I8">
        <v>0.999</v>
      </c>
    </row>
    <row r="9" spans="1:9" x14ac:dyDescent="0.25">
      <c r="A9" s="1" t="s">
        <v>9</v>
      </c>
      <c r="B9">
        <v>310</v>
      </c>
      <c r="C9">
        <v>21.321999999999999</v>
      </c>
      <c r="D9">
        <v>8.6389999999999993</v>
      </c>
      <c r="E9">
        <v>7.0270000000000001</v>
      </c>
      <c r="F9">
        <v>13.054</v>
      </c>
      <c r="G9">
        <v>21.907</v>
      </c>
      <c r="H9">
        <v>28.954000000000001</v>
      </c>
      <c r="I9">
        <v>36.744</v>
      </c>
    </row>
    <row r="10" spans="1:9" x14ac:dyDescent="0.25">
      <c r="A10" s="1" t="s">
        <v>10</v>
      </c>
      <c r="B10">
        <v>310</v>
      </c>
      <c r="C10">
        <v>13.065</v>
      </c>
      <c r="D10">
        <v>3.4</v>
      </c>
      <c r="E10">
        <v>7.0380000000000003</v>
      </c>
      <c r="F10">
        <v>10.417999999999999</v>
      </c>
      <c r="G10">
        <v>12.938000000000001</v>
      </c>
      <c r="H10">
        <v>15.89</v>
      </c>
      <c r="I10">
        <v>19.324000000000002</v>
      </c>
    </row>
    <row r="11" spans="1:9" x14ac:dyDescent="0.25">
      <c r="A11" s="1" t="s">
        <v>11</v>
      </c>
      <c r="B11">
        <v>310</v>
      </c>
      <c r="C11">
        <v>11.933</v>
      </c>
      <c r="D11">
        <v>2.8929999999999998</v>
      </c>
      <c r="E11">
        <v>7.0309999999999997</v>
      </c>
      <c r="F11">
        <v>9.5410000000000004</v>
      </c>
      <c r="G11">
        <v>11.954000000000001</v>
      </c>
      <c r="H11">
        <v>14.372</v>
      </c>
      <c r="I11">
        <v>16.821000000000002</v>
      </c>
    </row>
    <row r="12" spans="1:9" x14ac:dyDescent="0.25">
      <c r="A12" s="1" t="s">
        <v>12</v>
      </c>
      <c r="B12">
        <v>310</v>
      </c>
      <c r="C12">
        <v>-14.053000000000001</v>
      </c>
      <c r="D12">
        <v>12.226000000000001</v>
      </c>
      <c r="E12">
        <v>-35.286999999999999</v>
      </c>
      <c r="F12">
        <v>-24.29</v>
      </c>
      <c r="G12">
        <v>-14.622999999999999</v>
      </c>
      <c r="H12">
        <v>-3.4969999999999999</v>
      </c>
      <c r="I12">
        <v>6.9720000000000004</v>
      </c>
    </row>
    <row r="13" spans="1:9" x14ac:dyDescent="0.25">
      <c r="A13" s="1" t="s">
        <v>13</v>
      </c>
      <c r="B13">
        <v>310</v>
      </c>
      <c r="C13">
        <v>25.646000000000001</v>
      </c>
      <c r="D13">
        <v>10.451000000000001</v>
      </c>
      <c r="E13">
        <v>7.008</v>
      </c>
      <c r="F13">
        <v>17.189</v>
      </c>
      <c r="G13">
        <v>24.931999999999999</v>
      </c>
      <c r="H13">
        <v>33.979999999999997</v>
      </c>
      <c r="I13">
        <v>44.341000000000001</v>
      </c>
    </row>
    <row r="14" spans="1:9" x14ac:dyDescent="0.25">
      <c r="A14" s="1" t="s">
        <v>14</v>
      </c>
      <c r="B14">
        <v>310</v>
      </c>
      <c r="C14">
        <v>0.67700000000000005</v>
      </c>
      <c r="D14">
        <v>0.46800000000000003</v>
      </c>
      <c r="E14">
        <v>0</v>
      </c>
      <c r="F14">
        <v>0</v>
      </c>
      <c r="G14">
        <v>1</v>
      </c>
      <c r="H14">
        <v>1</v>
      </c>
      <c r="I1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/>
  </sheetViews>
  <sheetFormatPr defaultRowHeight="15" x14ac:dyDescent="0.25"/>
  <sheetData>
    <row r="1" spans="1:3" x14ac:dyDescent="0.25">
      <c r="B1" s="1" t="s">
        <v>25</v>
      </c>
      <c r="C1" s="1" t="s">
        <v>26</v>
      </c>
    </row>
    <row r="2" spans="1:3" x14ac:dyDescent="0.25">
      <c r="A2" s="1">
        <v>0</v>
      </c>
      <c r="B2" t="s">
        <v>2</v>
      </c>
      <c r="C2">
        <v>1702684169138.1841</v>
      </c>
    </row>
    <row r="3" spans="1:3" x14ac:dyDescent="0.25">
      <c r="A3" s="1">
        <v>1</v>
      </c>
      <c r="B3" t="s">
        <v>3</v>
      </c>
      <c r="C3">
        <v>175445553180.64221</v>
      </c>
    </row>
    <row r="4" spans="1:3" x14ac:dyDescent="0.25">
      <c r="A4" s="1">
        <v>2</v>
      </c>
      <c r="B4" t="s">
        <v>4</v>
      </c>
      <c r="C4">
        <v>19.507741179939689</v>
      </c>
    </row>
    <row r="5" spans="1:3" x14ac:dyDescent="0.25">
      <c r="A5" s="1">
        <v>3</v>
      </c>
      <c r="B5" t="s">
        <v>5</v>
      </c>
      <c r="C5">
        <v>871439556379.73999</v>
      </c>
    </row>
    <row r="6" spans="1:3" x14ac:dyDescent="0.25">
      <c r="A6" s="1">
        <v>4</v>
      </c>
      <c r="B6" t="s">
        <v>6</v>
      </c>
      <c r="C6">
        <v>35.30375091396494</v>
      </c>
    </row>
    <row r="7" spans="1:3" x14ac:dyDescent="0.25">
      <c r="A7" s="1">
        <v>5</v>
      </c>
      <c r="B7" t="s">
        <v>7</v>
      </c>
      <c r="C7">
        <v>2.6635846921524831</v>
      </c>
    </row>
    <row r="8" spans="1:3" x14ac:dyDescent="0.25">
      <c r="A8" s="1">
        <v>6</v>
      </c>
      <c r="B8" t="s">
        <v>8</v>
      </c>
      <c r="C8">
        <v>3.833090484865858</v>
      </c>
    </row>
    <row r="9" spans="1:3" x14ac:dyDescent="0.25">
      <c r="A9" s="1">
        <v>7</v>
      </c>
      <c r="B9" t="s">
        <v>9</v>
      </c>
      <c r="C9">
        <v>7.2815646517497221</v>
      </c>
    </row>
    <row r="10" spans="1:3" x14ac:dyDescent="0.25">
      <c r="A10" s="1">
        <v>8</v>
      </c>
      <c r="B10" t="s">
        <v>10</v>
      </c>
      <c r="C10">
        <v>15.259954042860841</v>
      </c>
    </row>
    <row r="11" spans="1:3" x14ac:dyDescent="0.25">
      <c r="A11" s="1">
        <v>9</v>
      </c>
      <c r="B11" t="s">
        <v>11</v>
      </c>
      <c r="C11">
        <v>17.326432288567631</v>
      </c>
    </row>
    <row r="12" spans="1:3" x14ac:dyDescent="0.25">
      <c r="A12" s="1">
        <v>10</v>
      </c>
      <c r="B12" t="s">
        <v>12</v>
      </c>
      <c r="C12">
        <v>2.319777720456794</v>
      </c>
    </row>
    <row r="13" spans="1:3" x14ac:dyDescent="0.25">
      <c r="A13" s="1">
        <v>11</v>
      </c>
      <c r="B13" t="s">
        <v>13</v>
      </c>
      <c r="C13">
        <v>6.9891353099728466</v>
      </c>
    </row>
    <row r="14" spans="1:3" x14ac:dyDescent="0.25">
      <c r="A14" s="1">
        <v>12</v>
      </c>
      <c r="B14" t="s">
        <v>14</v>
      </c>
      <c r="C14">
        <v>4.106159564948288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"/>
  <sheetViews>
    <sheetView workbookViewId="0"/>
  </sheetViews>
  <sheetFormatPr defaultRowHeight="15" x14ac:dyDescent="0.25"/>
  <sheetData>
    <row r="1" spans="1:2" x14ac:dyDescent="0.25">
      <c r="B1" s="1">
        <v>0</v>
      </c>
    </row>
    <row r="2" spans="1:2" x14ac:dyDescent="0.25">
      <c r="A2" s="1">
        <v>0</v>
      </c>
      <c r="B2">
        <v>0.27300000000000002</v>
      </c>
    </row>
    <row r="3" spans="1:2" x14ac:dyDescent="0.25">
      <c r="A3" s="1">
        <v>1</v>
      </c>
      <c r="B3">
        <v>0.104</v>
      </c>
    </row>
    <row r="4" spans="1:2" x14ac:dyDescent="0.25">
      <c r="A4" s="1">
        <v>2</v>
      </c>
      <c r="B4">
        <v>9.5000000000000001E-2</v>
      </c>
    </row>
    <row r="5" spans="1:2" x14ac:dyDescent="0.25">
      <c r="A5" s="1">
        <v>3</v>
      </c>
      <c r="B5">
        <v>8.7999999999999995E-2</v>
      </c>
    </row>
    <row r="6" spans="1:2" x14ac:dyDescent="0.25">
      <c r="A6" s="1">
        <v>4</v>
      </c>
      <c r="B6">
        <v>8.5000000000000006E-2</v>
      </c>
    </row>
    <row r="7" spans="1:2" x14ac:dyDescent="0.25">
      <c r="A7" s="1">
        <v>5</v>
      </c>
      <c r="B7">
        <v>8.1000000000000003E-2</v>
      </c>
    </row>
    <row r="8" spans="1:2" x14ac:dyDescent="0.25">
      <c r="A8" s="1">
        <v>6</v>
      </c>
      <c r="B8">
        <v>7.3999999999999996E-2</v>
      </c>
    </row>
    <row r="9" spans="1:2" x14ac:dyDescent="0.25">
      <c r="A9" s="1">
        <v>7</v>
      </c>
      <c r="B9">
        <v>7.3999999999999996E-2</v>
      </c>
    </row>
    <row r="10" spans="1:2" x14ac:dyDescent="0.25">
      <c r="A10" s="1">
        <v>8</v>
      </c>
      <c r="B10">
        <v>6.0999999999999999E-2</v>
      </c>
    </row>
    <row r="11" spans="1:2" x14ac:dyDescent="0.25">
      <c r="A11" s="1">
        <v>9</v>
      </c>
      <c r="B11">
        <v>3.9E-2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1"/>
  <sheetViews>
    <sheetView tabSelected="1" workbookViewId="0">
      <selection activeCell="P19" sqref="P19"/>
    </sheetView>
  </sheetViews>
  <sheetFormatPr defaultRowHeight="15" x14ac:dyDescent="0.25"/>
  <sheetData>
    <row r="1" spans="1:2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</row>
    <row r="2" spans="1:26" x14ac:dyDescent="0.25">
      <c r="A2" s="1">
        <v>0</v>
      </c>
      <c r="B2">
        <v>0.53</v>
      </c>
      <c r="C2">
        <v>0.32200000000000001</v>
      </c>
      <c r="D2">
        <v>0.45600000000000002</v>
      </c>
      <c r="E2">
        <v>0.441</v>
      </c>
      <c r="F2">
        <v>-0.14399999999999999</v>
      </c>
      <c r="G2">
        <v>0.42099999999999999</v>
      </c>
      <c r="H2">
        <v>4.3999999999999997E-2</v>
      </c>
      <c r="I2">
        <v>-7.4999999999999997E-2</v>
      </c>
      <c r="J2">
        <v>-7.0000000000000007E-2</v>
      </c>
      <c r="K2">
        <v>3.2000000000000001E-2</v>
      </c>
      <c r="L2">
        <v>2.5999999999999999E-2</v>
      </c>
      <c r="M2">
        <v>-1.9E-2</v>
      </c>
      <c r="O2">
        <f>ABS(B2)</f>
        <v>0.53</v>
      </c>
      <c r="P2">
        <f t="shared" ref="P2:Z2" si="0">ABS(C2)</f>
        <v>0.32200000000000001</v>
      </c>
      <c r="Q2">
        <f t="shared" si="0"/>
        <v>0.45600000000000002</v>
      </c>
      <c r="R2">
        <f t="shared" si="0"/>
        <v>0.441</v>
      </c>
      <c r="S2">
        <f t="shared" si="0"/>
        <v>0.14399999999999999</v>
      </c>
      <c r="T2">
        <f t="shared" si="0"/>
        <v>0.42099999999999999</v>
      </c>
      <c r="U2">
        <f t="shared" si="0"/>
        <v>4.3999999999999997E-2</v>
      </c>
      <c r="V2">
        <f t="shared" si="0"/>
        <v>7.4999999999999997E-2</v>
      </c>
      <c r="W2">
        <f t="shared" si="0"/>
        <v>7.0000000000000007E-2</v>
      </c>
      <c r="X2">
        <f t="shared" si="0"/>
        <v>3.2000000000000001E-2</v>
      </c>
      <c r="Y2">
        <f t="shared" si="0"/>
        <v>2.5999999999999999E-2</v>
      </c>
      <c r="Z2">
        <f t="shared" si="0"/>
        <v>1.9E-2</v>
      </c>
    </row>
    <row r="3" spans="1:26" x14ac:dyDescent="0.25">
      <c r="A3" s="1">
        <v>1</v>
      </c>
      <c r="B3">
        <v>-2.5000000000000001E-2</v>
      </c>
      <c r="C3">
        <v>0.41499999999999998</v>
      </c>
      <c r="D3">
        <v>8.5999999999999993E-2</v>
      </c>
      <c r="E3">
        <v>-0.34200000000000003</v>
      </c>
      <c r="F3">
        <v>0.623</v>
      </c>
      <c r="G3">
        <v>0.157</v>
      </c>
      <c r="H3">
        <v>0.26900000000000002</v>
      </c>
      <c r="I3">
        <v>0.1</v>
      </c>
      <c r="J3">
        <v>0.121</v>
      </c>
      <c r="K3">
        <v>0.187</v>
      </c>
      <c r="L3">
        <v>0.245</v>
      </c>
      <c r="M3">
        <v>-0.315</v>
      </c>
      <c r="O3">
        <f t="shared" ref="O3:O11" si="1">ABS(B3)</f>
        <v>2.5000000000000001E-2</v>
      </c>
      <c r="P3">
        <f t="shared" ref="P3:P11" si="2">ABS(C3)</f>
        <v>0.41499999999999998</v>
      </c>
      <c r="Q3">
        <f t="shared" ref="Q3:Q11" si="3">ABS(D3)</f>
        <v>8.5999999999999993E-2</v>
      </c>
      <c r="R3">
        <f t="shared" ref="R3:R11" si="4">ABS(E3)</f>
        <v>0.34200000000000003</v>
      </c>
      <c r="S3">
        <f t="shared" ref="S3:S11" si="5">ABS(F3)</f>
        <v>0.623</v>
      </c>
      <c r="T3">
        <f t="shared" ref="T3:T11" si="6">ABS(G3)</f>
        <v>0.157</v>
      </c>
      <c r="U3">
        <f t="shared" ref="U3:U11" si="7">ABS(H3)</f>
        <v>0.26900000000000002</v>
      </c>
      <c r="V3">
        <f t="shared" ref="V3:V11" si="8">ABS(I3)</f>
        <v>0.1</v>
      </c>
      <c r="W3">
        <f t="shared" ref="W3:W11" si="9">ABS(J3)</f>
        <v>0.121</v>
      </c>
      <c r="X3">
        <f t="shared" ref="X3:X11" si="10">ABS(K3)</f>
        <v>0.187</v>
      </c>
      <c r="Y3">
        <f t="shared" ref="Y3:Y11" si="11">ABS(L3)</f>
        <v>0.245</v>
      </c>
      <c r="Z3">
        <f t="shared" ref="Z3:Z11" si="12">ABS(M3)</f>
        <v>0.315</v>
      </c>
    </row>
    <row r="4" spans="1:26" x14ac:dyDescent="0.25">
      <c r="A4" s="1">
        <v>2</v>
      </c>
      <c r="B4">
        <v>-2.9000000000000001E-2</v>
      </c>
      <c r="C4">
        <v>-0.28000000000000003</v>
      </c>
      <c r="D4">
        <v>-0.03</v>
      </c>
      <c r="E4">
        <v>0.17100000000000001</v>
      </c>
      <c r="F4">
        <v>-0.26500000000000001</v>
      </c>
      <c r="G4">
        <v>-8.0000000000000002E-3</v>
      </c>
      <c r="H4">
        <v>0.46800000000000003</v>
      </c>
      <c r="I4">
        <v>0.308</v>
      </c>
      <c r="J4">
        <v>0.20300000000000001</v>
      </c>
      <c r="K4">
        <v>0.629</v>
      </c>
      <c r="L4">
        <v>0.25700000000000001</v>
      </c>
      <c r="M4">
        <v>6.0999999999999999E-2</v>
      </c>
      <c r="O4">
        <f t="shared" si="1"/>
        <v>2.9000000000000001E-2</v>
      </c>
      <c r="P4">
        <f t="shared" si="2"/>
        <v>0.28000000000000003</v>
      </c>
      <c r="Q4">
        <f t="shared" si="3"/>
        <v>0.03</v>
      </c>
      <c r="R4">
        <f t="shared" si="4"/>
        <v>0.17100000000000001</v>
      </c>
      <c r="S4">
        <f t="shared" si="5"/>
        <v>0.26500000000000001</v>
      </c>
      <c r="T4">
        <f t="shared" si="6"/>
        <v>8.0000000000000002E-3</v>
      </c>
      <c r="U4">
        <f t="shared" si="7"/>
        <v>0.46800000000000003</v>
      </c>
      <c r="V4">
        <f t="shared" si="8"/>
        <v>0.308</v>
      </c>
      <c r="W4">
        <f t="shared" si="9"/>
        <v>0.20300000000000001</v>
      </c>
      <c r="X4">
        <f t="shared" si="10"/>
        <v>0.629</v>
      </c>
      <c r="Y4">
        <f t="shared" si="11"/>
        <v>0.25700000000000001</v>
      </c>
      <c r="Z4">
        <f t="shared" si="12"/>
        <v>6.0999999999999999E-2</v>
      </c>
    </row>
    <row r="5" spans="1:26" x14ac:dyDescent="0.25">
      <c r="A5" s="1">
        <v>3</v>
      </c>
      <c r="B5">
        <v>8.0000000000000002E-3</v>
      </c>
      <c r="C5">
        <v>-7.2999999999999995E-2</v>
      </c>
      <c r="D5">
        <v>-4.8000000000000001E-2</v>
      </c>
      <c r="E5">
        <v>6.5000000000000002E-2</v>
      </c>
      <c r="F5">
        <v>-7.5999999999999998E-2</v>
      </c>
      <c r="G5">
        <v>2.1000000000000001E-2</v>
      </c>
      <c r="H5">
        <v>0.23200000000000001</v>
      </c>
      <c r="I5">
        <v>0.46200000000000002</v>
      </c>
      <c r="J5">
        <v>-0.33200000000000002</v>
      </c>
      <c r="K5">
        <v>-0.109</v>
      </c>
      <c r="L5">
        <v>-0.51700000000000002</v>
      </c>
      <c r="M5">
        <v>-0.56999999999999995</v>
      </c>
      <c r="O5">
        <f t="shared" si="1"/>
        <v>8.0000000000000002E-3</v>
      </c>
      <c r="P5">
        <f t="shared" si="2"/>
        <v>7.2999999999999995E-2</v>
      </c>
      <c r="Q5">
        <f t="shared" si="3"/>
        <v>4.8000000000000001E-2</v>
      </c>
      <c r="R5">
        <f t="shared" si="4"/>
        <v>6.5000000000000002E-2</v>
      </c>
      <c r="S5">
        <f t="shared" si="5"/>
        <v>7.5999999999999998E-2</v>
      </c>
      <c r="T5">
        <f t="shared" si="6"/>
        <v>2.1000000000000001E-2</v>
      </c>
      <c r="U5">
        <f t="shared" si="7"/>
        <v>0.23200000000000001</v>
      </c>
      <c r="V5">
        <f t="shared" si="8"/>
        <v>0.46200000000000002</v>
      </c>
      <c r="W5">
        <f t="shared" si="9"/>
        <v>0.33200000000000002</v>
      </c>
      <c r="X5">
        <f t="shared" si="10"/>
        <v>0.109</v>
      </c>
      <c r="Y5">
        <f t="shared" si="11"/>
        <v>0.51700000000000002</v>
      </c>
      <c r="Z5">
        <f t="shared" si="12"/>
        <v>0.56999999999999995</v>
      </c>
    </row>
    <row r="6" spans="1:26" x14ac:dyDescent="0.25">
      <c r="A6" s="1">
        <v>4</v>
      </c>
      <c r="B6">
        <v>6.6000000000000003E-2</v>
      </c>
      <c r="C6">
        <v>0.11799999999999999</v>
      </c>
      <c r="D6">
        <v>4.1000000000000002E-2</v>
      </c>
      <c r="E6">
        <v>-3.0000000000000001E-3</v>
      </c>
      <c r="F6">
        <v>0.16800000000000001</v>
      </c>
      <c r="G6">
        <v>7.0999999999999994E-2</v>
      </c>
      <c r="H6">
        <v>-0.45200000000000001</v>
      </c>
      <c r="I6">
        <v>0.504</v>
      </c>
      <c r="J6">
        <v>0.42899999999999999</v>
      </c>
      <c r="K6">
        <v>0.22700000000000001</v>
      </c>
      <c r="L6">
        <v>-0.42099999999999999</v>
      </c>
      <c r="M6">
        <v>0.27500000000000002</v>
      </c>
      <c r="O6">
        <f t="shared" si="1"/>
        <v>6.6000000000000003E-2</v>
      </c>
      <c r="P6">
        <f t="shared" si="2"/>
        <v>0.11799999999999999</v>
      </c>
      <c r="Q6">
        <f t="shared" si="3"/>
        <v>4.1000000000000002E-2</v>
      </c>
      <c r="R6">
        <f t="shared" si="4"/>
        <v>3.0000000000000001E-3</v>
      </c>
      <c r="S6">
        <f t="shared" si="5"/>
        <v>0.16800000000000001</v>
      </c>
      <c r="T6">
        <f t="shared" si="6"/>
        <v>7.0999999999999994E-2</v>
      </c>
      <c r="U6">
        <f t="shared" si="7"/>
        <v>0.45200000000000001</v>
      </c>
      <c r="V6">
        <f t="shared" si="8"/>
        <v>0.504</v>
      </c>
      <c r="W6">
        <f t="shared" si="9"/>
        <v>0.42899999999999999</v>
      </c>
      <c r="X6">
        <f t="shared" si="10"/>
        <v>0.22700000000000001</v>
      </c>
      <c r="Y6">
        <f t="shared" si="11"/>
        <v>0.42099999999999999</v>
      </c>
      <c r="Z6">
        <f t="shared" si="12"/>
        <v>0.27500000000000002</v>
      </c>
    </row>
    <row r="7" spans="1:26" x14ac:dyDescent="0.25">
      <c r="A7" s="1">
        <v>5</v>
      </c>
      <c r="B7">
        <v>-6.0000000000000001E-3</v>
      </c>
      <c r="C7">
        <v>-0.13</v>
      </c>
      <c r="D7">
        <v>2.7E-2</v>
      </c>
      <c r="E7">
        <v>8.8999999999999996E-2</v>
      </c>
      <c r="F7">
        <v>-0.106</v>
      </c>
      <c r="G7">
        <v>6.0000000000000001E-3</v>
      </c>
      <c r="H7">
        <v>9.7000000000000003E-2</v>
      </c>
      <c r="I7">
        <v>-0.34899999999999998</v>
      </c>
      <c r="J7">
        <v>0.75900000000000001</v>
      </c>
      <c r="K7">
        <v>-0.15</v>
      </c>
      <c r="L7">
        <v>-0.19400000000000001</v>
      </c>
      <c r="M7">
        <v>-0.442</v>
      </c>
      <c r="O7">
        <f t="shared" si="1"/>
        <v>6.0000000000000001E-3</v>
      </c>
      <c r="P7">
        <f t="shared" si="2"/>
        <v>0.13</v>
      </c>
      <c r="Q7">
        <f t="shared" si="3"/>
        <v>2.7E-2</v>
      </c>
      <c r="R7">
        <f t="shared" si="4"/>
        <v>8.8999999999999996E-2</v>
      </c>
      <c r="S7">
        <f t="shared" si="5"/>
        <v>0.106</v>
      </c>
      <c r="T7">
        <f t="shared" si="6"/>
        <v>6.0000000000000001E-3</v>
      </c>
      <c r="U7">
        <f t="shared" si="7"/>
        <v>9.7000000000000003E-2</v>
      </c>
      <c r="V7">
        <f t="shared" si="8"/>
        <v>0.34899999999999998</v>
      </c>
      <c r="W7">
        <f t="shared" si="9"/>
        <v>0.75900000000000001</v>
      </c>
      <c r="X7">
        <f t="shared" si="10"/>
        <v>0.15</v>
      </c>
      <c r="Y7">
        <f t="shared" si="11"/>
        <v>0.19400000000000001</v>
      </c>
      <c r="Z7">
        <f t="shared" si="12"/>
        <v>0.442</v>
      </c>
    </row>
    <row r="8" spans="1:26" x14ac:dyDescent="0.25">
      <c r="A8" s="1">
        <v>6</v>
      </c>
      <c r="B8">
        <v>-3.5000000000000003E-2</v>
      </c>
      <c r="C8">
        <v>0.16500000000000001</v>
      </c>
      <c r="D8">
        <v>-3.6999999999999998E-2</v>
      </c>
      <c r="E8">
        <v>-0.16800000000000001</v>
      </c>
      <c r="F8">
        <v>1.7000000000000001E-2</v>
      </c>
      <c r="G8">
        <v>1.7000000000000001E-2</v>
      </c>
      <c r="H8">
        <v>0.30399999999999999</v>
      </c>
      <c r="I8">
        <v>-0.48099999999999998</v>
      </c>
      <c r="J8">
        <v>-0.13800000000000001</v>
      </c>
      <c r="K8">
        <v>0.40200000000000002</v>
      </c>
      <c r="L8">
        <v>-0.61099999999999999</v>
      </c>
      <c r="M8">
        <v>0.253</v>
      </c>
      <c r="O8">
        <f t="shared" si="1"/>
        <v>3.5000000000000003E-2</v>
      </c>
      <c r="P8">
        <f t="shared" si="2"/>
        <v>0.16500000000000001</v>
      </c>
      <c r="Q8">
        <f t="shared" si="3"/>
        <v>3.6999999999999998E-2</v>
      </c>
      <c r="R8">
        <f t="shared" si="4"/>
        <v>0.16800000000000001</v>
      </c>
      <c r="S8">
        <f t="shared" si="5"/>
        <v>1.7000000000000001E-2</v>
      </c>
      <c r="T8">
        <f t="shared" si="6"/>
        <v>1.7000000000000001E-2</v>
      </c>
      <c r="U8">
        <f t="shared" si="7"/>
        <v>0.30399999999999999</v>
      </c>
      <c r="V8">
        <f t="shared" si="8"/>
        <v>0.48099999999999998</v>
      </c>
      <c r="W8">
        <f t="shared" si="9"/>
        <v>0.13800000000000001</v>
      </c>
      <c r="X8">
        <f t="shared" si="10"/>
        <v>0.40200000000000002</v>
      </c>
      <c r="Y8">
        <f t="shared" si="11"/>
        <v>0.61099999999999999</v>
      </c>
      <c r="Z8">
        <f t="shared" si="12"/>
        <v>0.253</v>
      </c>
    </row>
    <row r="9" spans="1:26" x14ac:dyDescent="0.25">
      <c r="A9" s="1">
        <v>7</v>
      </c>
      <c r="B9">
        <v>1.6E-2</v>
      </c>
      <c r="C9">
        <v>-0.186</v>
      </c>
      <c r="D9">
        <v>-8.0000000000000002E-3</v>
      </c>
      <c r="E9">
        <v>0.159</v>
      </c>
      <c r="F9">
        <v>0.32500000000000001</v>
      </c>
      <c r="G9">
        <v>0.13700000000000001</v>
      </c>
      <c r="H9">
        <v>0.53500000000000003</v>
      </c>
      <c r="I9">
        <v>0.157</v>
      </c>
      <c r="J9">
        <v>0.14000000000000001</v>
      </c>
      <c r="K9">
        <v>-0.50600000000000001</v>
      </c>
      <c r="L9">
        <v>-0.111</v>
      </c>
      <c r="M9">
        <v>0.46500000000000002</v>
      </c>
      <c r="O9">
        <f t="shared" si="1"/>
        <v>1.6E-2</v>
      </c>
      <c r="P9">
        <f t="shared" si="2"/>
        <v>0.186</v>
      </c>
      <c r="Q9">
        <f t="shared" si="3"/>
        <v>8.0000000000000002E-3</v>
      </c>
      <c r="R9">
        <f t="shared" si="4"/>
        <v>0.159</v>
      </c>
      <c r="S9">
        <f t="shared" si="5"/>
        <v>0.32500000000000001</v>
      </c>
      <c r="T9">
        <f t="shared" si="6"/>
        <v>0.13700000000000001</v>
      </c>
      <c r="U9">
        <f t="shared" si="7"/>
        <v>0.53500000000000003</v>
      </c>
      <c r="V9">
        <f t="shared" si="8"/>
        <v>0.157</v>
      </c>
      <c r="W9">
        <f t="shared" si="9"/>
        <v>0.14000000000000001</v>
      </c>
      <c r="X9">
        <f t="shared" si="10"/>
        <v>0.50600000000000001</v>
      </c>
      <c r="Y9">
        <f t="shared" si="11"/>
        <v>0.111</v>
      </c>
      <c r="Z9">
        <f t="shared" si="12"/>
        <v>0.46500000000000002</v>
      </c>
    </row>
    <row r="10" spans="1:26" x14ac:dyDescent="0.25">
      <c r="A10" s="1">
        <v>8</v>
      </c>
      <c r="B10">
        <v>-0.125</v>
      </c>
      <c r="C10">
        <v>-0.59799999999999998</v>
      </c>
      <c r="D10">
        <v>0.184</v>
      </c>
      <c r="E10">
        <v>0.28499999999999998</v>
      </c>
      <c r="F10">
        <v>0.51400000000000001</v>
      </c>
      <c r="G10">
        <v>0.23100000000000001</v>
      </c>
      <c r="H10">
        <v>-0.23200000000000001</v>
      </c>
      <c r="I10">
        <v>-0.19600000000000001</v>
      </c>
      <c r="J10">
        <v>-0.17299999999999999</v>
      </c>
      <c r="K10">
        <v>0.23400000000000001</v>
      </c>
      <c r="L10">
        <v>-4.3999999999999997E-2</v>
      </c>
      <c r="M10">
        <v>-0.127</v>
      </c>
      <c r="O10">
        <f t="shared" si="1"/>
        <v>0.125</v>
      </c>
      <c r="P10">
        <f t="shared" si="2"/>
        <v>0.59799999999999998</v>
      </c>
      <c r="Q10">
        <f t="shared" si="3"/>
        <v>0.184</v>
      </c>
      <c r="R10">
        <f t="shared" si="4"/>
        <v>0.28499999999999998</v>
      </c>
      <c r="S10">
        <f t="shared" si="5"/>
        <v>0.51400000000000001</v>
      </c>
      <c r="T10">
        <f t="shared" si="6"/>
        <v>0.23100000000000001</v>
      </c>
      <c r="U10">
        <f t="shared" si="7"/>
        <v>0.23200000000000001</v>
      </c>
      <c r="V10">
        <f t="shared" si="8"/>
        <v>0.19600000000000001</v>
      </c>
      <c r="W10">
        <f t="shared" si="9"/>
        <v>0.17299999999999999</v>
      </c>
      <c r="X10">
        <f t="shared" si="10"/>
        <v>0.23400000000000001</v>
      </c>
      <c r="Y10">
        <f t="shared" si="11"/>
        <v>4.3999999999999997E-2</v>
      </c>
      <c r="Z10">
        <f t="shared" si="12"/>
        <v>0.127</v>
      </c>
    </row>
    <row r="11" spans="1:26" x14ac:dyDescent="0.25">
      <c r="A11" s="1">
        <v>9</v>
      </c>
      <c r="B11">
        <v>-0.106</v>
      </c>
      <c r="C11">
        <v>-1.6E-2</v>
      </c>
      <c r="D11">
        <v>-0.53800000000000003</v>
      </c>
      <c r="E11">
        <v>-0.125</v>
      </c>
      <c r="F11">
        <v>-0.17100000000000001</v>
      </c>
      <c r="G11">
        <v>0.80300000000000005</v>
      </c>
      <c r="H11">
        <v>-7.6999999999999999E-2</v>
      </c>
      <c r="I11">
        <v>-1.9E-2</v>
      </c>
      <c r="J11">
        <v>6.0000000000000001E-3</v>
      </c>
      <c r="K11">
        <v>-0.02</v>
      </c>
      <c r="L11">
        <v>4.7E-2</v>
      </c>
      <c r="M11">
        <v>-5.0000000000000001E-3</v>
      </c>
      <c r="O11">
        <f t="shared" si="1"/>
        <v>0.106</v>
      </c>
      <c r="P11">
        <f t="shared" si="2"/>
        <v>1.6E-2</v>
      </c>
      <c r="Q11">
        <f t="shared" si="3"/>
        <v>0.53800000000000003</v>
      </c>
      <c r="R11">
        <f t="shared" si="4"/>
        <v>0.125</v>
      </c>
      <c r="S11">
        <f t="shared" si="5"/>
        <v>0.17100000000000001</v>
      </c>
      <c r="T11">
        <f t="shared" si="6"/>
        <v>0.80300000000000005</v>
      </c>
      <c r="U11">
        <f t="shared" si="7"/>
        <v>7.6999999999999999E-2</v>
      </c>
      <c r="V11">
        <f t="shared" si="8"/>
        <v>1.9E-2</v>
      </c>
      <c r="W11">
        <f t="shared" si="9"/>
        <v>6.0000000000000001E-3</v>
      </c>
      <c r="X11">
        <f t="shared" si="10"/>
        <v>0.02</v>
      </c>
      <c r="Y11">
        <f t="shared" si="11"/>
        <v>4.7E-2</v>
      </c>
      <c r="Z11">
        <f t="shared" si="12"/>
        <v>5.0000000000000001E-3</v>
      </c>
    </row>
  </sheetData>
  <conditionalFormatting sqref="O2:Z2">
    <cfRule type="top10" priority="22" rank="1"/>
  </conditionalFormatting>
  <conditionalFormatting sqref="O2:Z2">
    <cfRule type="top10" dxfId="10" priority="21" rank="1"/>
  </conditionalFormatting>
  <conditionalFormatting sqref="O3:Z3">
    <cfRule type="top10" priority="18" rank="1"/>
  </conditionalFormatting>
  <conditionalFormatting sqref="O3:Z3">
    <cfRule type="top10" dxfId="8" priority="17" rank="1"/>
  </conditionalFormatting>
  <conditionalFormatting sqref="O4:Z4">
    <cfRule type="top10" priority="16" rank="1"/>
  </conditionalFormatting>
  <conditionalFormatting sqref="O4:Z4">
    <cfRule type="top10" dxfId="7" priority="15" rank="1"/>
  </conditionalFormatting>
  <conditionalFormatting sqref="O5:Z5">
    <cfRule type="top10" priority="14" rank="1"/>
  </conditionalFormatting>
  <conditionalFormatting sqref="O5:Z5">
    <cfRule type="top10" dxfId="6" priority="13" rank="1"/>
  </conditionalFormatting>
  <conditionalFormatting sqref="O6:Z6">
    <cfRule type="top10" priority="12" rank="1"/>
  </conditionalFormatting>
  <conditionalFormatting sqref="O6:Z6">
    <cfRule type="top10" dxfId="5" priority="11" rank="1"/>
  </conditionalFormatting>
  <conditionalFormatting sqref="O7:Z7">
    <cfRule type="top10" priority="10" rank="1"/>
  </conditionalFormatting>
  <conditionalFormatting sqref="O7:Z7">
    <cfRule type="top10" dxfId="4" priority="9" rank="1"/>
  </conditionalFormatting>
  <conditionalFormatting sqref="O8:Z8">
    <cfRule type="top10" priority="8" rank="1"/>
  </conditionalFormatting>
  <conditionalFormatting sqref="O8:Z8">
    <cfRule type="top10" dxfId="3" priority="7" rank="1"/>
  </conditionalFormatting>
  <conditionalFormatting sqref="O9:Z9">
    <cfRule type="top10" priority="6" rank="1"/>
  </conditionalFormatting>
  <conditionalFormatting sqref="O9:Z9">
    <cfRule type="top10" dxfId="2" priority="5" rank="1"/>
  </conditionalFormatting>
  <conditionalFormatting sqref="O10:Z10">
    <cfRule type="top10" priority="4" rank="1"/>
  </conditionalFormatting>
  <conditionalFormatting sqref="O10:Z10">
    <cfRule type="top10" dxfId="1" priority="3" rank="1"/>
  </conditionalFormatting>
  <conditionalFormatting sqref="O11:Z11">
    <cfRule type="top10" priority="2" rank="1"/>
  </conditionalFormatting>
  <conditionalFormatting sqref="O11:Z11">
    <cfRule type="top10" dxfId="0" priority="1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4"/>
  <sheetViews>
    <sheetView workbookViewId="0"/>
  </sheetViews>
  <sheetFormatPr defaultRowHeight="15" x14ac:dyDescent="0.25"/>
  <sheetData>
    <row r="1" spans="1:5" x14ac:dyDescent="0.25">
      <c r="B1" s="1" t="s">
        <v>27</v>
      </c>
      <c r="C1" s="1" t="s">
        <v>28</v>
      </c>
      <c r="D1" s="1" t="s">
        <v>29</v>
      </c>
      <c r="E1" s="1" t="s">
        <v>30</v>
      </c>
    </row>
    <row r="2" spans="1:5" x14ac:dyDescent="0.25">
      <c r="A2" s="1">
        <v>0</v>
      </c>
      <c r="B2" t="s">
        <v>31</v>
      </c>
      <c r="C2" t="s">
        <v>2</v>
      </c>
      <c r="D2">
        <v>0.53</v>
      </c>
      <c r="E2" t="s">
        <v>43</v>
      </c>
    </row>
    <row r="3" spans="1:5" x14ac:dyDescent="0.25">
      <c r="A3" s="1">
        <v>1</v>
      </c>
      <c r="B3" t="s">
        <v>32</v>
      </c>
      <c r="C3" t="s">
        <v>6</v>
      </c>
      <c r="D3">
        <v>0.623</v>
      </c>
      <c r="E3" t="s">
        <v>43</v>
      </c>
    </row>
    <row r="4" spans="1:5" x14ac:dyDescent="0.25">
      <c r="A4" s="1">
        <v>2</v>
      </c>
      <c r="B4" t="s">
        <v>33</v>
      </c>
      <c r="C4" t="s">
        <v>11</v>
      </c>
      <c r="D4">
        <v>0.629</v>
      </c>
      <c r="E4" t="s">
        <v>43</v>
      </c>
    </row>
    <row r="5" spans="1:5" x14ac:dyDescent="0.25">
      <c r="A5" s="1">
        <v>3</v>
      </c>
      <c r="B5" t="s">
        <v>34</v>
      </c>
      <c r="C5" t="s">
        <v>13</v>
      </c>
      <c r="D5">
        <v>-0.56999999999999995</v>
      </c>
      <c r="E5" t="s">
        <v>43</v>
      </c>
    </row>
    <row r="6" spans="1:5" x14ac:dyDescent="0.25">
      <c r="A6" s="1">
        <v>4</v>
      </c>
      <c r="B6" t="s">
        <v>35</v>
      </c>
      <c r="C6" t="s">
        <v>9</v>
      </c>
      <c r="D6">
        <v>0.504</v>
      </c>
      <c r="E6" t="s">
        <v>43</v>
      </c>
    </row>
    <row r="7" spans="1:5" x14ac:dyDescent="0.25">
      <c r="A7" s="1">
        <v>5</v>
      </c>
      <c r="B7" t="s">
        <v>36</v>
      </c>
      <c r="C7" t="s">
        <v>10</v>
      </c>
      <c r="D7">
        <v>0.75900000000000001</v>
      </c>
      <c r="E7" t="s">
        <v>43</v>
      </c>
    </row>
    <row r="8" spans="1:5" x14ac:dyDescent="0.25">
      <c r="A8" s="1">
        <v>6</v>
      </c>
      <c r="B8" t="s">
        <v>37</v>
      </c>
      <c r="C8" t="s">
        <v>12</v>
      </c>
      <c r="D8">
        <v>-0.61099999999999999</v>
      </c>
      <c r="E8" t="s">
        <v>43</v>
      </c>
    </row>
    <row r="9" spans="1:5" x14ac:dyDescent="0.25">
      <c r="A9" s="1">
        <v>7</v>
      </c>
      <c r="B9" t="s">
        <v>38</v>
      </c>
      <c r="C9" t="s">
        <v>8</v>
      </c>
      <c r="D9">
        <v>0.53500000000000003</v>
      </c>
      <c r="E9" t="s">
        <v>43</v>
      </c>
    </row>
    <row r="10" spans="1:5" x14ac:dyDescent="0.25">
      <c r="A10" s="1">
        <v>8</v>
      </c>
      <c r="B10" t="s">
        <v>39</v>
      </c>
      <c r="C10" t="s">
        <v>3</v>
      </c>
      <c r="D10">
        <v>-0.59799999999999998</v>
      </c>
      <c r="E10" t="s">
        <v>43</v>
      </c>
    </row>
    <row r="11" spans="1:5" x14ac:dyDescent="0.25">
      <c r="A11" s="1">
        <v>9</v>
      </c>
      <c r="B11" t="s">
        <v>40</v>
      </c>
      <c r="C11" t="s">
        <v>7</v>
      </c>
      <c r="D11">
        <v>0.80300000000000005</v>
      </c>
      <c r="E11" t="s">
        <v>43</v>
      </c>
    </row>
    <row r="12" spans="1:5" x14ac:dyDescent="0.25">
      <c r="A12" s="1">
        <v>10</v>
      </c>
      <c r="B12" t="s">
        <v>41</v>
      </c>
      <c r="C12" t="s">
        <v>4</v>
      </c>
      <c r="D12">
        <v>0.67400000000000004</v>
      </c>
      <c r="E12" t="s">
        <v>43</v>
      </c>
    </row>
    <row r="13" spans="1:5" x14ac:dyDescent="0.25">
      <c r="A13" s="1">
        <v>11</v>
      </c>
      <c r="B13" t="s">
        <v>42</v>
      </c>
      <c r="C13" t="s">
        <v>2</v>
      </c>
      <c r="D13">
        <v>0.71699999999999997</v>
      </c>
      <c r="E13" t="s">
        <v>43</v>
      </c>
    </row>
    <row r="14" spans="1:5" x14ac:dyDescent="0.25">
      <c r="A14" s="1">
        <v>12</v>
      </c>
      <c r="B14" t="s">
        <v>42</v>
      </c>
      <c r="C14" t="s">
        <v>5</v>
      </c>
      <c r="D14">
        <v>-0.55900000000000005</v>
      </c>
      <c r="E14" t="s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3"/>
  <sheetViews>
    <sheetView workbookViewId="0"/>
  </sheetViews>
  <sheetFormatPr defaultRowHeight="15" x14ac:dyDescent="0.25"/>
  <sheetData>
    <row r="1" spans="1:3" x14ac:dyDescent="0.25">
      <c r="B1" s="1" t="s">
        <v>45</v>
      </c>
      <c r="C1" s="1" t="s">
        <v>46</v>
      </c>
    </row>
    <row r="2" spans="1:3" x14ac:dyDescent="0.25">
      <c r="A2" s="1">
        <v>5</v>
      </c>
      <c r="B2" t="s">
        <v>7</v>
      </c>
      <c r="C2">
        <v>0.53500000000000003</v>
      </c>
    </row>
    <row r="3" spans="1:3" x14ac:dyDescent="0.25">
      <c r="A3" s="1">
        <v>3</v>
      </c>
      <c r="B3" t="s">
        <v>5</v>
      </c>
      <c r="C3">
        <v>0.151</v>
      </c>
    </row>
    <row r="4" spans="1:3" x14ac:dyDescent="0.25">
      <c r="A4" s="1">
        <v>4</v>
      </c>
      <c r="B4" t="s">
        <v>6</v>
      </c>
      <c r="C4">
        <v>9.5000000000000001E-2</v>
      </c>
    </row>
    <row r="5" spans="1:3" x14ac:dyDescent="0.25">
      <c r="A5" s="1">
        <v>9</v>
      </c>
      <c r="B5" t="s">
        <v>11</v>
      </c>
      <c r="C5">
        <v>7.0000000000000007E-2</v>
      </c>
    </row>
    <row r="6" spans="1:3" x14ac:dyDescent="0.25">
      <c r="A6" s="1">
        <v>1</v>
      </c>
      <c r="B6" t="s">
        <v>3</v>
      </c>
      <c r="C6">
        <v>3.6999999999999998E-2</v>
      </c>
    </row>
    <row r="7" spans="1:3" x14ac:dyDescent="0.25">
      <c r="A7" s="1">
        <v>10</v>
      </c>
      <c r="B7" t="s">
        <v>12</v>
      </c>
      <c r="C7">
        <v>3.1E-2</v>
      </c>
    </row>
    <row r="8" spans="1:3" x14ac:dyDescent="0.25">
      <c r="A8" s="1">
        <v>6</v>
      </c>
      <c r="B8" t="s">
        <v>8</v>
      </c>
      <c r="C8">
        <v>2.7E-2</v>
      </c>
    </row>
    <row r="9" spans="1:3" x14ac:dyDescent="0.25">
      <c r="A9" s="1">
        <v>0</v>
      </c>
      <c r="B9" t="s">
        <v>2</v>
      </c>
      <c r="C9">
        <v>1.9E-2</v>
      </c>
    </row>
    <row r="10" spans="1:3" x14ac:dyDescent="0.25">
      <c r="A10" s="1">
        <v>8</v>
      </c>
      <c r="B10" t="s">
        <v>10</v>
      </c>
      <c r="C10">
        <v>1.9E-2</v>
      </c>
    </row>
    <row r="11" spans="1:3" x14ac:dyDescent="0.25">
      <c r="A11" s="1">
        <v>11</v>
      </c>
      <c r="B11" t="s">
        <v>13</v>
      </c>
      <c r="C11">
        <v>1.6E-2</v>
      </c>
    </row>
    <row r="12" spans="1:3" x14ac:dyDescent="0.25">
      <c r="A12" s="1">
        <v>2</v>
      </c>
      <c r="B12" t="s">
        <v>4</v>
      </c>
      <c r="C12">
        <v>0</v>
      </c>
    </row>
    <row r="13" spans="1:3" x14ac:dyDescent="0.25">
      <c r="A13" s="1">
        <v>7</v>
      </c>
      <c r="B13" t="s">
        <v>9</v>
      </c>
      <c r="C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Info</vt:lpstr>
      <vt:lpstr>Stats</vt:lpstr>
      <vt:lpstr>VIF</vt:lpstr>
      <vt:lpstr>PCA_VAR</vt:lpstr>
      <vt:lpstr>PCA_Components</vt:lpstr>
      <vt:lpstr>PCA_Top_Features</vt:lpstr>
      <vt:lpstr>DTR-Features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Balaji Kannan</cp:lastModifiedBy>
  <dcterms:created xsi:type="dcterms:W3CDTF">2021-05-15T05:17:28Z</dcterms:created>
  <dcterms:modified xsi:type="dcterms:W3CDTF">2021-06-04T06:25:32Z</dcterms:modified>
</cp:coreProperties>
</file>